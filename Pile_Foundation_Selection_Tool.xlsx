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tro" sheetId="1" state="visible" r:id="rId1"/>
    <sheet xmlns:r="http://schemas.openxmlformats.org/officeDocument/2006/relationships" name="2_Project_Input" sheetId="2" state="visible" r:id="rId2"/>
    <sheet xmlns:r="http://schemas.openxmlformats.org/officeDocument/2006/relationships" name="3_Pile_DB" sheetId="3" state="visible" r:id="rId3"/>
    <sheet xmlns:r="http://schemas.openxmlformats.org/officeDocument/2006/relationships" name="4_Scoring_Model" sheetId="4" state="visible" r:id="rId4"/>
    <sheet xmlns:r="http://schemas.openxmlformats.org/officeDocument/2006/relationships" name="5_Advice" sheetId="5" state="visible" r:id="rId5"/>
  </sheets>
  <definedNames>
    <definedName name="_xlnm.Print_Titles" localSheetId="2">'3_Pile_DB'!$1:$4</definedName>
    <definedName name="_xlnm.Print_Titles" localSheetId="3">'4_Scoring_Model'!$1:$4</definedName>
    <definedName name="_xlnm.Print_Titles" localSheetId="4">'5_Advice'!$1:$6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color rgb="00404040"/>
      <sz val="10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" fontId="0" fillId="3" borderId="1" pivotButton="0" quotePrefix="0" xfId="0"/>
    <xf numFmtId="0" fontId="0" fillId="3" borderId="1" pivotButton="0" quotePrefix="0" xfId="0"/>
    <xf numFmtId="0" fontId="2" fillId="4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1" fontId="4" fillId="0" borderId="1" applyAlignment="1" pivotButton="0" quotePrefix="0" xfId="0">
      <alignment horizontal="center" vertical="center"/>
    </xf>
    <xf numFmtId="2" fontId="4" fillId="3" borderId="1" pivotButton="0" quotePrefix="0" xfId="0"/>
    <xf numFmtId="0" fontId="4" fillId="4" borderId="1" applyAlignment="1" pivotButton="0" quotePrefix="0" xfId="0">
      <alignment vertical="top" wrapText="1"/>
    </xf>
    <xf numFmtId="1" fontId="0" fillId="0" borderId="1" applyAlignment="1" pivotButton="0" quotePrefix="0" xfId="0">
      <alignment horizontal="center" vertical="center"/>
    </xf>
    <xf numFmtId="2" fontId="3" fillId="0" borderId="1" pivotButton="0" quotePrefix="0" xfId="0"/>
    <xf numFmtId="2" fontId="3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2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Tool</author>
  </authors>
  <commentList>
    <comment ref="G5" authorId="0" shapeId="0">
      <text>
        <t>Scores are formulas. You can edit logic per criterion.
This cell: capacity fit score for the first pile system.</t>
      </text>
    </comment>
    <comment ref="B17" authorId="0" shapeId="0">
      <text>
        <t>Aim for total weight = 1.00 (not mandatory, but recommended).</t>
      </text>
    </comment>
    <comment ref="F18" authorId="0" shapeId="0">
      <text>
        <t>Total scores used for ranking on Sheet 5.</t>
      </text>
    </comment>
    <comment ref="G18" authorId="0" shapeId="0">
      <text>
        <t>Weighted average of scores (1–5).</t>
      </text>
    </comment>
    <comment ref="H18" authorId="0" shapeId="0">
      <text>
        <t>Weighted average of scores (1–5).</t>
      </text>
    </comment>
    <comment ref="I18" authorId="0" shapeId="0">
      <text>
        <t>Weighted average of scores (1–5).</t>
      </text>
    </comment>
    <comment ref="J18" authorId="0" shapeId="0">
      <text>
        <t>Weighted average of scores (1–5).</t>
      </text>
    </comment>
    <comment ref="K18" authorId="0" shapeId="0">
      <text>
        <t>Weighted average of scores (1–5).</t>
      </text>
    </comment>
    <comment ref="L18" authorId="0" shapeId="0">
      <text>
        <t>Weighted average of scores (1–5).</t>
      </text>
    </comment>
    <comment ref="M18" authorId="0" shapeId="0">
      <text>
        <t>Weighted average of scores (1–5).</t>
      </text>
    </comment>
    <comment ref="N18" authorId="0" shapeId="0">
      <text>
        <t>Weighted average of scores (1–5).</t>
      </text>
    </comment>
  </commentList>
</comments>
</file>

<file path=xl/comments/comment2.xml><?xml version="1.0" encoding="utf-8"?>
<comments xmlns="http://schemas.openxmlformats.org/spreadsheetml/2006/main">
  <authors>
    <author>Tool</author>
  </authors>
  <commentList>
    <comment ref="B14" authorId="0" shapeId="0">
      <text>
        <t>Pulls the pile system with Rank = 1 from the results table.</t>
      </text>
    </comment>
    <comment ref="C15" authorId="0" shapeId="0">
      <text>
        <t>Top score corresponding to the recommended pile system.</t>
      </text>
    </comment>
  </commentList>
</comments>
</file>

<file path=xl/tables/table1.xml><?xml version="1.0" encoding="utf-8"?>
<table xmlns="http://schemas.openxmlformats.org/spreadsheetml/2006/main" id="1" name="tblPileDB" displayName="tblPileDB" ref="A4:R12" headerRowCount="1">
  <autoFilter ref="A4:R12"/>
  <tableColumns count="18">
    <tableColumn id="1" name="System_ID"/>
    <tableColumn id="2" name="Pile_System"/>
    <tableColumn id="3" name="Type"/>
    <tableColumn id="4" name="Notes"/>
    <tableColumn id="5" name="Min_Capacity_kN"/>
    <tableColumn id="6" name="Max_Capacity_kN"/>
    <tableColumn id="7" name="Typical_Diameter_mm"/>
    <tableColumn id="8" name="Vibration_Rating"/>
    <tableColumn id="9" name="Noise_Rating"/>
    <tableColumn id="10" name="Speed_Rating"/>
    <tableColumn id="11" name="Spoil_Rating"/>
    <tableColumn id="12" name="Obstruction_Tolerance"/>
    <tableColumn id="13" name="WaterTable_Suitability"/>
    <tableColumn id="14" name="Corrosion_Suitability"/>
    <tableColumn id="15" name="RockRefusal_Risk"/>
    <tableColumn id="16" name="QA_Controllability"/>
    <tableColumn id="17" name="Removability"/>
    <tableColumn id="18" name="Carbon_Impac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Pile Foundation System Selection Tool</t>
        </is>
      </c>
    </row>
    <row r="2">
      <c r="A2" s="2" t="inlineStr">
        <is>
          <t>Decision-support workbook (technical). No macros. All formulas are transparent and editable.</t>
        </is>
      </c>
    </row>
    <row r="4">
      <c r="A4" s="3" t="inlineStr">
        <is>
          <t>How to use</t>
        </is>
      </c>
    </row>
    <row r="5">
      <c r="A5" s="4" t="inlineStr">
        <is>
          <t>1) Fill in project and soil inputs on Sheet 2.
2) Review / edit the pile system database on Sheet 3 (add your local systems).
3) Adjust scoring criteria and weights on Sheet 4.
4) Read the automatic ranking and advice on Sheet 5.
Tip: Cells with yellow background are intended user inputs.</t>
        </is>
      </c>
    </row>
    <row r="8">
      <c r="A8" s="3" t="inlineStr">
        <is>
          <t>Built-in scoring logic (overview)</t>
        </is>
      </c>
    </row>
    <row r="9">
      <c r="A9" s="5" t="inlineStr">
        <is>
          <t>• Each pile system has base ratings (1–5) in the database for key criteria.
• Sheet 4 converts your project conditions into criterion-specific scores.
• Total Score = SUMPRODUCT(Weights, Scores) / SUM(Weights).
• The tool ranks systems and highlights the best option (Sheet 5).</t>
        </is>
      </c>
    </row>
    <row r="12">
      <c r="A12" s="3" t="inlineStr">
        <is>
          <t>Legend</t>
        </is>
      </c>
    </row>
    <row r="13">
      <c r="A13" s="6" t="inlineStr">
        <is>
          <t>Yellow = user input | Blue header = section | Grey = notes / read-only guidance</t>
        </is>
      </c>
    </row>
    <row r="15">
      <c r="A15" s="3" t="inlineStr">
        <is>
          <t>Version</t>
        </is>
      </c>
    </row>
    <row r="16">
      <c r="A16" s="6" t="inlineStr">
        <is>
          <t>v1.0  |  Generated 2026-01-05</t>
        </is>
      </c>
    </row>
  </sheetData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  <col width="10" customWidth="1" min="3" max="3"/>
    <col width="10" customWidth="1" min="4" max="4"/>
    <col hidden="1" width="13" customWidth="1" min="26" max="26"/>
  </cols>
  <sheetData>
    <row r="1">
      <c r="A1" s="1" t="inlineStr">
        <is>
          <t>Project &amp; Soil Input</t>
        </is>
      </c>
    </row>
    <row r="2">
      <c r="Z2" t="inlineStr">
        <is>
          <t>yesno</t>
        </is>
      </c>
    </row>
    <row r="3">
      <c r="A3" s="7" t="inlineStr">
        <is>
          <t>Project conditions</t>
        </is>
      </c>
      <c r="B3" s="8" t="n"/>
      <c r="C3" s="8" t="n"/>
      <c r="D3" s="8" t="n"/>
      <c r="Z3" t="inlineStr">
        <is>
          <t>Yes</t>
        </is>
      </c>
    </row>
    <row r="4">
      <c r="A4" s="9" t="inlineStr">
        <is>
          <t>Project type</t>
        </is>
      </c>
      <c r="B4" s="10" t="inlineStr">
        <is>
          <t>Building</t>
        </is>
      </c>
      <c r="C4" s="11" t="inlineStr">
        <is>
          <t>Input</t>
        </is>
      </c>
      <c r="D4" s="8" t="inlineStr"/>
      <c r="Z4" t="inlineStr">
        <is>
          <t>No</t>
        </is>
      </c>
    </row>
    <row r="5">
      <c r="A5" s="9" t="inlineStr">
        <is>
          <t>Structure sensitivity to vibration</t>
        </is>
      </c>
      <c r="B5" s="10" t="inlineStr">
        <is>
          <t>Yes</t>
        </is>
      </c>
      <c r="C5" s="11" t="inlineStr">
        <is>
          <t>Input</t>
        </is>
      </c>
      <c r="D5" s="8" t="inlineStr"/>
    </row>
    <row r="6">
      <c r="A6" s="9" t="inlineStr">
        <is>
          <t>Noise restrictions</t>
        </is>
      </c>
      <c r="B6" s="10" t="inlineStr">
        <is>
          <t>Yes</t>
        </is>
      </c>
      <c r="C6" s="11" t="inlineStr">
        <is>
          <t>Input</t>
        </is>
      </c>
      <c r="D6" s="8" t="inlineStr"/>
    </row>
    <row r="7">
      <c r="A7" s="9" t="inlineStr">
        <is>
          <t>Low headroom / limited plant access</t>
        </is>
      </c>
      <c r="B7" s="10" t="inlineStr">
        <is>
          <t>No</t>
        </is>
      </c>
      <c r="C7" s="11" t="inlineStr">
        <is>
          <t>Input</t>
        </is>
      </c>
      <c r="D7" s="8" t="inlineStr"/>
      <c r="Z7" t="inlineStr">
        <is>
          <t>dropdown_project</t>
        </is>
      </c>
    </row>
    <row r="8">
      <c r="A8" s="9" t="inlineStr">
        <is>
          <t>Adjacent structures / utilities close by</t>
        </is>
      </c>
      <c r="B8" s="10" t="inlineStr">
        <is>
          <t>Yes</t>
        </is>
      </c>
      <c r="C8" s="11" t="inlineStr">
        <is>
          <t>Input</t>
        </is>
      </c>
      <c r="D8" s="8" t="inlineStr"/>
      <c r="Z8" t="inlineStr">
        <is>
          <t>Building</t>
        </is>
      </c>
    </row>
    <row r="9">
      <c r="A9" s="9" t="inlineStr">
        <is>
          <t>Environmental constraints (spoil, slurry, contamination)</t>
        </is>
      </c>
      <c r="B9" s="10" t="inlineStr">
        <is>
          <t>No</t>
        </is>
      </c>
      <c r="C9" s="11" t="inlineStr">
        <is>
          <t>Input</t>
        </is>
      </c>
      <c r="D9" s="8" t="inlineStr"/>
      <c r="Z9" t="inlineStr">
        <is>
          <t>Bridge</t>
        </is>
      </c>
    </row>
    <row r="10">
      <c r="A10" s="9" t="inlineStr">
        <is>
          <t>Schedule critical (fast installation needed)</t>
        </is>
      </c>
      <c r="B10" s="10" t="inlineStr">
        <is>
          <t>No</t>
        </is>
      </c>
      <c r="C10" s="11" t="inlineStr">
        <is>
          <t>Input</t>
        </is>
      </c>
      <c r="D10" s="8" t="inlineStr"/>
      <c r="Z10" t="inlineStr">
        <is>
          <t>Solar farm</t>
        </is>
      </c>
    </row>
    <row r="11">
      <c r="A11" s="9" t="inlineStr">
        <is>
          <t>Temporary works / removable piles required</t>
        </is>
      </c>
      <c r="B11" s="10" t="inlineStr">
        <is>
          <t>No</t>
        </is>
      </c>
      <c r="C11" s="11" t="inlineStr">
        <is>
          <t>Input</t>
        </is>
      </c>
      <c r="D11" s="8" t="inlineStr"/>
      <c r="Z11" t="inlineStr">
        <is>
          <t>Industrial</t>
        </is>
      </c>
    </row>
    <row r="12">
      <c r="A12" s="8" t="n"/>
      <c r="B12" s="8" t="n"/>
      <c r="C12" s="8" t="n"/>
      <c r="D12" s="8" t="n"/>
      <c r="Z12" t="inlineStr">
        <is>
          <t>Marine</t>
        </is>
      </c>
    </row>
    <row r="13">
      <c r="A13" s="7" t="inlineStr">
        <is>
          <t>Loads &amp; geometry</t>
        </is>
      </c>
      <c r="B13" s="8" t="n"/>
      <c r="C13" s="8" t="n"/>
      <c r="D13" s="8" t="n"/>
      <c r="Z13" t="inlineStr">
        <is>
          <t>Retaining wall</t>
        </is>
      </c>
    </row>
    <row r="14">
      <c r="A14" s="8" t="inlineStr">
        <is>
          <t>Required compression capacity (kN)</t>
        </is>
      </c>
      <c r="B14" s="12" t="n">
        <v>1500</v>
      </c>
      <c r="C14" s="11" t="inlineStr">
        <is>
          <t>Input</t>
        </is>
      </c>
      <c r="D14" s="8" t="n"/>
      <c r="Z14" t="inlineStr">
        <is>
          <t>Temporary works</t>
        </is>
      </c>
    </row>
    <row r="15">
      <c r="A15" s="8" t="inlineStr">
        <is>
          <t>Required tension capacity (kN)</t>
        </is>
      </c>
      <c r="B15" s="12" t="n">
        <v>300</v>
      </c>
      <c r="C15" s="11" t="inlineStr">
        <is>
          <t>Input</t>
        </is>
      </c>
      <c r="D15" s="8" t="n"/>
      <c r="Z15" t="inlineStr">
        <is>
          <t>Other</t>
        </is>
      </c>
    </row>
    <row r="16">
      <c r="A16" s="8" t="inlineStr">
        <is>
          <t>Required lateral capacity (kN)</t>
        </is>
      </c>
      <c r="B16" s="12" t="n">
        <v>200</v>
      </c>
      <c r="C16" s="11" t="inlineStr">
        <is>
          <t>Input</t>
        </is>
      </c>
      <c r="D16" s="8" t="n"/>
    </row>
    <row r="17">
      <c r="A17" s="8" t="inlineStr">
        <is>
          <t>Estimated pile length (m)</t>
        </is>
      </c>
      <c r="B17" s="12" t="n">
        <v>12</v>
      </c>
      <c r="C17" s="11" t="inlineStr">
        <is>
          <t>Input</t>
        </is>
      </c>
      <c r="D17" s="8" t="n"/>
      <c r="Z17" t="inlineStr">
        <is>
          <t>dropdown_soil</t>
        </is>
      </c>
    </row>
    <row r="18">
      <c r="A18" s="8" t="inlineStr">
        <is>
          <t>Design life (years)</t>
        </is>
      </c>
      <c r="B18" s="12" t="n">
        <v>50</v>
      </c>
      <c r="C18" s="11" t="inlineStr">
        <is>
          <t>Input</t>
        </is>
      </c>
      <c r="D18" s="8" t="n"/>
      <c r="Z18" t="inlineStr">
        <is>
          <t>Fill</t>
        </is>
      </c>
    </row>
    <row r="19">
      <c r="A19" s="8" t="n"/>
      <c r="B19" s="8" t="n"/>
      <c r="C19" s="8" t="n"/>
      <c r="D19" s="8" t="n"/>
      <c r="Z19" t="inlineStr">
        <is>
          <t>Clay</t>
        </is>
      </c>
    </row>
    <row r="20">
      <c r="A20" s="7" t="inlineStr">
        <is>
          <t>Soil &amp; groundwater</t>
        </is>
      </c>
      <c r="B20" s="8" t="n"/>
      <c r="C20" s="8" t="n"/>
      <c r="D20" s="8" t="n"/>
      <c r="Z20" t="inlineStr">
        <is>
          <t>Silt</t>
        </is>
      </c>
    </row>
    <row r="21">
      <c r="A21" s="8" t="inlineStr">
        <is>
          <t>Dominant soil type</t>
        </is>
      </c>
      <c r="B21" s="13" t="inlineStr">
        <is>
          <t>Clay</t>
        </is>
      </c>
      <c r="C21" s="11" t="inlineStr">
        <is>
          <t>Input</t>
        </is>
      </c>
      <c r="D21" s="8" t="n"/>
      <c r="Z21" t="inlineStr">
        <is>
          <t>Sand</t>
        </is>
      </c>
    </row>
    <row r="22">
      <c r="A22" s="8" t="inlineStr">
        <is>
          <t>Soil consistency / density</t>
        </is>
      </c>
      <c r="B22" s="13" t="inlineStr">
        <is>
          <t>Firm</t>
        </is>
      </c>
      <c r="C22" s="11" t="inlineStr">
        <is>
          <t>Input</t>
        </is>
      </c>
      <c r="D22" s="8" t="n"/>
      <c r="Z22" t="inlineStr">
        <is>
          <t>Gravel</t>
        </is>
      </c>
    </row>
    <row r="23">
      <c r="A23" s="8" t="inlineStr">
        <is>
          <t>Obstructions / cobbles / boulders expected</t>
        </is>
      </c>
      <c r="B23" s="13" t="inlineStr">
        <is>
          <t>No</t>
        </is>
      </c>
      <c r="C23" s="11" t="inlineStr">
        <is>
          <t>Input</t>
        </is>
      </c>
      <c r="D23" s="8" t="n"/>
      <c r="Z23" t="inlineStr">
        <is>
          <t>Mixed</t>
        </is>
      </c>
    </row>
    <row r="24">
      <c r="A24" s="8" t="inlineStr">
        <is>
          <t>Groundwater level / water table</t>
        </is>
      </c>
      <c r="B24" s="13" t="inlineStr">
        <is>
          <t>Medium</t>
        </is>
      </c>
      <c r="C24" s="11" t="inlineStr">
        <is>
          <t>Input</t>
        </is>
      </c>
      <c r="D24" s="8" t="n"/>
      <c r="Z24" t="inlineStr">
        <is>
          <t>Rock</t>
        </is>
      </c>
    </row>
    <row r="25">
      <c r="A25" s="8" t="inlineStr">
        <is>
          <t>Corrosion / aggressivity risk</t>
        </is>
      </c>
      <c r="B25" s="13" t="inlineStr">
        <is>
          <t>Medium</t>
        </is>
      </c>
      <c r="C25" s="11" t="inlineStr">
        <is>
          <t>Input</t>
        </is>
      </c>
      <c r="D25" s="8" t="n"/>
    </row>
    <row r="26">
      <c r="A26" s="8" t="inlineStr">
        <is>
          <t>Rock or very dense layer at shallow depth</t>
        </is>
      </c>
      <c r="B26" s="13" t="inlineStr">
        <is>
          <t>No</t>
        </is>
      </c>
      <c r="C26" s="11" t="inlineStr">
        <is>
          <t>Input</t>
        </is>
      </c>
      <c r="D26" s="8" t="n"/>
      <c r="Z26" t="inlineStr">
        <is>
          <t>dropdown_strength</t>
        </is>
      </c>
    </row>
    <row r="27">
      <c r="A27" s="8" t="inlineStr">
        <is>
          <t>Contamination present</t>
        </is>
      </c>
      <c r="B27" s="13" t="inlineStr">
        <is>
          <t>No</t>
        </is>
      </c>
      <c r="C27" s="11" t="inlineStr">
        <is>
          <t>Input</t>
        </is>
      </c>
      <c r="D27" s="8" t="n"/>
      <c r="Z27" t="inlineStr">
        <is>
          <t>Very soft/Loose</t>
        </is>
      </c>
    </row>
    <row r="28">
      <c r="A28" s="8" t="n"/>
      <c r="B28" s="8" t="n"/>
      <c r="C28" s="8" t="n"/>
      <c r="D28" s="8" t="n"/>
      <c r="Z28" t="inlineStr">
        <is>
          <t>Soft</t>
        </is>
      </c>
    </row>
    <row r="29">
      <c r="A29" s="8" t="n"/>
      <c r="B29" s="8" t="n"/>
      <c r="C29" s="8" t="n"/>
      <c r="D29" s="8" t="n"/>
      <c r="Z29" t="inlineStr">
        <is>
          <t>Firm/Medium dense</t>
        </is>
      </c>
    </row>
    <row r="30">
      <c r="A30" s="14" t="inlineStr">
        <is>
          <t>Notes:
• Enter site-specific data as available.
• The database ratings are generic starting points; adjust for your region, equipment, and standards.
• Always validate results with engineering judgment and applicable codes.</t>
        </is>
      </c>
      <c r="B30" s="8" t="n"/>
      <c r="C30" s="8" t="n"/>
      <c r="D30" s="8" t="n"/>
      <c r="Z30" t="inlineStr">
        <is>
          <t>Stiff/Dense</t>
        </is>
      </c>
    </row>
    <row r="31">
      <c r="A31" s="8" t="n"/>
      <c r="B31" s="8" t="n"/>
      <c r="C31" s="8" t="n"/>
      <c r="D31" s="8" t="n"/>
      <c r="Z31" t="inlineStr">
        <is>
          <t>Very stiff/Very dense</t>
        </is>
      </c>
    </row>
    <row r="32">
      <c r="A32" s="8" t="n"/>
      <c r="B32" s="8" t="n"/>
      <c r="C32" s="8" t="n"/>
      <c r="D32" s="8" t="n"/>
      <c r="Z32" t="inlineStr">
        <is>
          <t>Hard/Refusal</t>
        </is>
      </c>
    </row>
    <row r="33">
      <c r="A33" s="8" t="n"/>
      <c r="B33" s="8" t="n"/>
      <c r="C33" s="8" t="n"/>
      <c r="D33" s="8" t="n"/>
    </row>
    <row r="34">
      <c r="Z34" t="inlineStr">
        <is>
          <t>dropdown_wt</t>
        </is>
      </c>
    </row>
    <row r="35">
      <c r="Z35" t="inlineStr">
        <is>
          <t>Low</t>
        </is>
      </c>
    </row>
    <row r="36">
      <c r="Z36" t="inlineStr">
        <is>
          <t>Medium</t>
        </is>
      </c>
    </row>
    <row r="37">
      <c r="Z37" t="inlineStr">
        <is>
          <t>High</t>
        </is>
      </c>
    </row>
    <row r="38"/>
    <row r="39">
      <c r="Z39" t="inlineStr">
        <is>
          <t>dropdown_risk</t>
        </is>
      </c>
    </row>
    <row r="40">
      <c r="Z40" t="inlineStr">
        <is>
          <t>Low</t>
        </is>
      </c>
    </row>
    <row r="41">
      <c r="Z41" t="inlineStr">
        <is>
          <t>Medium</t>
        </is>
      </c>
    </row>
    <row r="42">
      <c r="Z42" t="inlineStr">
        <is>
          <t>High</t>
        </is>
      </c>
    </row>
  </sheetData>
  <mergeCells count="4">
    <mergeCell ref="A30:D33"/>
    <mergeCell ref="A13:D13"/>
    <mergeCell ref="A3:D3"/>
    <mergeCell ref="A20:D20"/>
  </mergeCells>
  <dataValidations count="6">
    <dataValidation sqref="B5 B6 B7 B8 B9 B10 B11 B23 B26 B27" showDropDown="0" showInputMessage="0" showErrorMessage="0" allowBlank="0" type="list">
      <formula1>=2_Project_Input!$Z$3:$Z$4</formula1>
    </dataValidation>
    <dataValidation sqref="B4" showDropDown="0" showInputMessage="0" showErrorMessage="0" allowBlank="0" type="list">
      <formula1>=2_Project_Input!$Z$8:$Z$15</formula1>
    </dataValidation>
    <dataValidation sqref="B21" showDropDown="0" showInputMessage="0" showErrorMessage="0" allowBlank="0" type="list">
      <formula1>=2_Project_Input!$Z$18:$Z$24</formula1>
    </dataValidation>
    <dataValidation sqref="B22" showDropDown="0" showInputMessage="0" showErrorMessage="0" allowBlank="0" type="list">
      <formula1>=2_Project_Input!$Z$27:$Z$32</formula1>
    </dataValidation>
    <dataValidation sqref="B24" showDropDown="0" showInputMessage="0" showErrorMessage="0" allowBlank="0" type="list">
      <formula1>=2_Project_Input!$Z$35:$Z$37</formula1>
    </dataValidation>
    <dataValidation sqref="B25" showDropDown="0" showInputMessage="0" showErrorMessage="0" allowBlank="0" type="list">
      <formula1>=2_Project_Input!$Z$40:$Z$42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36" customWidth="1" min="4" max="4"/>
    <col width="16" customWidth="1" min="5" max="5"/>
    <col width="16" customWidth="1" min="6" max="6"/>
    <col width="20" customWidth="1" min="7" max="7"/>
    <col width="16" customWidth="1" min="8" max="8"/>
    <col width="12" customWidth="1" min="9" max="9"/>
    <col width="12" customWidth="1" min="10" max="10"/>
    <col width="12" customWidth="1" min="11" max="11"/>
    <col width="20" customWidth="1" min="12" max="12"/>
    <col width="22" customWidth="1" min="13" max="13"/>
    <col width="20" customWidth="1" min="14" max="14"/>
    <col width="18" customWidth="1" min="15" max="15"/>
    <col width="18" customWidth="1" min="16" max="16"/>
    <col width="14" customWidth="1" min="17" max="17"/>
    <col width="14" customWidth="1" min="18" max="18"/>
  </cols>
  <sheetData>
    <row r="1">
      <c r="A1" s="1" t="inlineStr">
        <is>
          <t>Database of Pile Systems (editable)</t>
        </is>
      </c>
    </row>
    <row r="2">
      <c r="A2" s="2" t="inlineStr">
        <is>
          <t>Edit ratings 1–5 where 5 is most favorable for the criterion (e.g., low vibration/noise, high suitability).</t>
        </is>
      </c>
    </row>
    <row r="4">
      <c r="A4" s="15" t="inlineStr">
        <is>
          <t>System_ID</t>
        </is>
      </c>
      <c r="B4" s="15" t="inlineStr">
        <is>
          <t>Pile_System</t>
        </is>
      </c>
      <c r="C4" s="15" t="inlineStr">
        <is>
          <t>Type</t>
        </is>
      </c>
      <c r="D4" s="15" t="inlineStr">
        <is>
          <t>Notes</t>
        </is>
      </c>
      <c r="E4" s="15" t="inlineStr">
        <is>
          <t>Min_Capacity_kN</t>
        </is>
      </c>
      <c r="F4" s="15" t="inlineStr">
        <is>
          <t>Max_Capacity_kN</t>
        </is>
      </c>
      <c r="G4" s="15" t="inlineStr">
        <is>
          <t>Typical_Diameter_mm</t>
        </is>
      </c>
      <c r="H4" s="15" t="inlineStr">
        <is>
          <t>Vibration_Rating</t>
        </is>
      </c>
      <c r="I4" s="15" t="inlineStr">
        <is>
          <t>Noise_Rating</t>
        </is>
      </c>
      <c r="J4" s="15" t="inlineStr">
        <is>
          <t>Speed_Rating</t>
        </is>
      </c>
      <c r="K4" s="15" t="inlineStr">
        <is>
          <t>Spoil_Rating</t>
        </is>
      </c>
      <c r="L4" s="15" t="inlineStr">
        <is>
          <t>Obstruction_Tolerance</t>
        </is>
      </c>
      <c r="M4" s="15" t="inlineStr">
        <is>
          <t>WaterTable_Suitability</t>
        </is>
      </c>
      <c r="N4" s="15" t="inlineStr">
        <is>
          <t>Corrosion_Suitability</t>
        </is>
      </c>
      <c r="O4" s="15" t="inlineStr">
        <is>
          <t>RockRefusal_Risk</t>
        </is>
      </c>
      <c r="P4" s="15" t="inlineStr">
        <is>
          <t>QA_Controllability</t>
        </is>
      </c>
      <c r="Q4" s="15" t="inlineStr">
        <is>
          <t>Removability</t>
        </is>
      </c>
      <c r="R4" s="15" t="inlineStr">
        <is>
          <t>Carbon_Impact</t>
        </is>
      </c>
    </row>
    <row r="5">
      <c r="A5" s="9" t="n">
        <v>1</v>
      </c>
      <c r="B5" s="9" t="inlineStr">
        <is>
          <t>Screw piles</t>
        </is>
      </c>
      <c r="C5" s="9" t="inlineStr">
        <is>
          <t>Helical</t>
        </is>
      </c>
      <c r="D5" s="16" t="inlineStr">
        <is>
          <t>Low vibration; good in restricted sites</t>
        </is>
      </c>
      <c r="E5" s="17" t="n">
        <v>100</v>
      </c>
      <c r="F5" s="17" t="n">
        <v>1200</v>
      </c>
      <c r="G5" s="17" t="n">
        <v>273</v>
      </c>
      <c r="H5" s="17" t="n">
        <v>5</v>
      </c>
      <c r="I5" s="17" t="n">
        <v>4</v>
      </c>
      <c r="J5" s="17" t="n">
        <v>4</v>
      </c>
      <c r="K5" s="17" t="n">
        <v>5</v>
      </c>
      <c r="L5" s="17" t="n">
        <v>2</v>
      </c>
      <c r="M5" s="17" t="n">
        <v>3</v>
      </c>
      <c r="N5" s="17" t="n">
        <v>3</v>
      </c>
      <c r="O5" s="17" t="n">
        <v>3</v>
      </c>
      <c r="P5" s="17" t="n">
        <v>4</v>
      </c>
      <c r="Q5" s="17" t="n">
        <v>5</v>
      </c>
      <c r="R5" s="17" t="n">
        <v>4</v>
      </c>
    </row>
    <row r="6">
      <c r="A6" s="9" t="n">
        <v>2</v>
      </c>
      <c r="B6" s="9" t="inlineStr">
        <is>
          <t>Steel pipe (driven)</t>
        </is>
      </c>
      <c r="C6" s="9" t="inlineStr">
        <is>
          <t>Driven</t>
        </is>
      </c>
      <c r="D6" s="16" t="inlineStr">
        <is>
          <t>High capacity; vibration/noise can be high</t>
        </is>
      </c>
      <c r="E6" s="17" t="n">
        <v>500</v>
      </c>
      <c r="F6" s="17" t="n">
        <v>5000</v>
      </c>
      <c r="G6" s="17" t="n">
        <v>600</v>
      </c>
      <c r="H6" s="17" t="n">
        <v>2</v>
      </c>
      <c r="I6" s="17" t="n">
        <v>2</v>
      </c>
      <c r="J6" s="17" t="n">
        <v>4</v>
      </c>
      <c r="K6" s="17" t="n">
        <v>5</v>
      </c>
      <c r="L6" s="17" t="n">
        <v>3</v>
      </c>
      <c r="M6" s="17" t="n">
        <v>3</v>
      </c>
      <c r="N6" s="17" t="n">
        <v>3</v>
      </c>
      <c r="O6" s="17" t="n">
        <v>2</v>
      </c>
      <c r="P6" s="17" t="n">
        <v>4</v>
      </c>
      <c r="Q6" s="17" t="n">
        <v>2</v>
      </c>
      <c r="R6" s="17" t="n">
        <v>3</v>
      </c>
    </row>
    <row r="7">
      <c r="A7" s="9" t="n">
        <v>3</v>
      </c>
      <c r="B7" s="9" t="inlineStr">
        <is>
          <t>Steel pipe (bored)</t>
        </is>
      </c>
      <c r="C7" s="9" t="inlineStr">
        <is>
          <t>Bored</t>
        </is>
      </c>
      <c r="D7" s="16" t="inlineStr">
        <is>
          <t>Lower vibration; spoil generated</t>
        </is>
      </c>
      <c r="E7" s="17" t="n">
        <v>300</v>
      </c>
      <c r="F7" s="17" t="n">
        <v>4000</v>
      </c>
      <c r="G7" s="17" t="n">
        <v>800</v>
      </c>
      <c r="H7" s="17" t="n">
        <v>4</v>
      </c>
      <c r="I7" s="17" t="n">
        <v>4</v>
      </c>
      <c r="J7" s="17" t="n">
        <v>3</v>
      </c>
      <c r="K7" s="17" t="n">
        <v>2</v>
      </c>
      <c r="L7" s="17" t="n">
        <v>3</v>
      </c>
      <c r="M7" s="17" t="n">
        <v>4</v>
      </c>
      <c r="N7" s="17" t="n">
        <v>3</v>
      </c>
      <c r="O7" s="17" t="n">
        <v>3</v>
      </c>
      <c r="P7" s="17" t="n">
        <v>4</v>
      </c>
      <c r="Q7" s="17" t="n">
        <v>1</v>
      </c>
      <c r="R7" s="17" t="n">
        <v>3</v>
      </c>
    </row>
    <row r="8">
      <c r="A8" s="9" t="n">
        <v>4</v>
      </c>
      <c r="B8" s="9" t="inlineStr">
        <is>
          <t>Prefab concrete (driven)</t>
        </is>
      </c>
      <c r="C8" s="9" t="inlineStr">
        <is>
          <t>Driven</t>
        </is>
      </c>
      <c r="D8" s="16" t="inlineStr">
        <is>
          <t>Fast installation; vibration/noise</t>
        </is>
      </c>
      <c r="E8" s="17" t="n">
        <v>400</v>
      </c>
      <c r="F8" s="17" t="n">
        <v>4000</v>
      </c>
      <c r="G8" s="17" t="n">
        <v>400</v>
      </c>
      <c r="H8" s="17" t="n">
        <v>2</v>
      </c>
      <c r="I8" s="17" t="n">
        <v>2</v>
      </c>
      <c r="J8" s="17" t="n">
        <v>5</v>
      </c>
      <c r="K8" s="17" t="n">
        <v>5</v>
      </c>
      <c r="L8" s="17" t="n">
        <v>3</v>
      </c>
      <c r="M8" s="17" t="n">
        <v>3</v>
      </c>
      <c r="N8" s="17" t="n">
        <v>4</v>
      </c>
      <c r="O8" s="17" t="n">
        <v>2</v>
      </c>
      <c r="P8" s="17" t="n">
        <v>4</v>
      </c>
      <c r="Q8" s="17" t="n">
        <v>1</v>
      </c>
      <c r="R8" s="17" t="n">
        <v>3</v>
      </c>
    </row>
    <row r="9">
      <c r="A9" s="9" t="n">
        <v>5</v>
      </c>
      <c r="B9" s="9" t="inlineStr">
        <is>
          <t>CFA (continuous flight auger)</t>
        </is>
      </c>
      <c r="C9" s="9" t="inlineStr">
        <is>
          <t>Bored</t>
        </is>
      </c>
      <c r="D9" s="16" t="inlineStr">
        <is>
          <t>Low vibration; produces spoil</t>
        </is>
      </c>
      <c r="E9" s="17" t="n">
        <v>300</v>
      </c>
      <c r="F9" s="17" t="n">
        <v>3500</v>
      </c>
      <c r="G9" s="17" t="n">
        <v>600</v>
      </c>
      <c r="H9" s="17" t="n">
        <v>5</v>
      </c>
      <c r="I9" s="17" t="n">
        <v>4</v>
      </c>
      <c r="J9" s="17" t="n">
        <v>3</v>
      </c>
      <c r="K9" s="17" t="n">
        <v>2</v>
      </c>
      <c r="L9" s="17" t="n">
        <v>3</v>
      </c>
      <c r="M9" s="17" t="n">
        <v>4</v>
      </c>
      <c r="N9" s="17" t="n">
        <v>3</v>
      </c>
      <c r="O9" s="17" t="n">
        <v>3</v>
      </c>
      <c r="P9" s="17" t="n">
        <v>4</v>
      </c>
      <c r="Q9" s="17" t="n">
        <v>1</v>
      </c>
      <c r="R9" s="17" t="n">
        <v>3</v>
      </c>
    </row>
    <row r="10">
      <c r="A10" s="9" t="n">
        <v>6</v>
      </c>
      <c r="B10" s="9" t="inlineStr">
        <is>
          <t>Bored cast-in-place</t>
        </is>
      </c>
      <c r="C10" s="9" t="inlineStr">
        <is>
          <t>Bored</t>
        </is>
      </c>
      <c r="D10" s="16" t="inlineStr">
        <is>
          <t>Flexible; good in mixed ground; slower</t>
        </is>
      </c>
      <c r="E10" s="17" t="n">
        <v>300</v>
      </c>
      <c r="F10" s="17" t="n">
        <v>6000</v>
      </c>
      <c r="G10" s="17" t="n">
        <v>1200</v>
      </c>
      <c r="H10" s="17" t="n">
        <v>5</v>
      </c>
      <c r="I10" s="17" t="n">
        <v>4</v>
      </c>
      <c r="J10" s="17" t="n">
        <v>2</v>
      </c>
      <c r="K10" s="17" t="n">
        <v>2</v>
      </c>
      <c r="L10" s="17" t="n">
        <v>4</v>
      </c>
      <c r="M10" s="17" t="n">
        <v>4</v>
      </c>
      <c r="N10" s="17" t="n">
        <v>3</v>
      </c>
      <c r="O10" s="17" t="n">
        <v>3</v>
      </c>
      <c r="P10" s="17" t="n">
        <v>4</v>
      </c>
      <c r="Q10" s="17" t="n">
        <v>1</v>
      </c>
      <c r="R10" s="17" t="n">
        <v>3</v>
      </c>
    </row>
    <row r="11">
      <c r="A11" s="9" t="n">
        <v>7</v>
      </c>
      <c r="B11" s="9" t="inlineStr">
        <is>
          <t>Micropiles</t>
        </is>
      </c>
      <c r="C11" s="9" t="inlineStr">
        <is>
          <t>Drilled</t>
        </is>
      </c>
      <c r="D11" s="16" t="inlineStr">
        <is>
          <t>Very flexible; good for underpinning; slower</t>
        </is>
      </c>
      <c r="E11" s="17" t="n">
        <v>200</v>
      </c>
      <c r="F11" s="17" t="n">
        <v>2000</v>
      </c>
      <c r="G11" s="17" t="n">
        <v>200</v>
      </c>
      <c r="H11" s="17" t="n">
        <v>5</v>
      </c>
      <c r="I11" s="17" t="n">
        <v>4</v>
      </c>
      <c r="J11" s="17" t="n">
        <v>2</v>
      </c>
      <c r="K11" s="17" t="n">
        <v>3</v>
      </c>
      <c r="L11" s="17" t="n">
        <v>4</v>
      </c>
      <c r="M11" s="17" t="n">
        <v>4</v>
      </c>
      <c r="N11" s="17" t="n">
        <v>3</v>
      </c>
      <c r="O11" s="17" t="n">
        <v>4</v>
      </c>
      <c r="P11" s="17" t="n">
        <v>4</v>
      </c>
      <c r="Q11" s="17" t="n">
        <v>1</v>
      </c>
      <c r="R11" s="17" t="n">
        <v>3</v>
      </c>
    </row>
    <row r="12">
      <c r="A12" s="9" t="n">
        <v>8</v>
      </c>
      <c r="B12" s="9" t="inlineStr">
        <is>
          <t>H-piles (driven steel)</t>
        </is>
      </c>
      <c r="C12" s="9" t="inlineStr">
        <is>
          <t>Driven</t>
        </is>
      </c>
      <c r="D12" s="16" t="inlineStr">
        <is>
          <t>Efficient; vibration/noise; good obstructions</t>
        </is>
      </c>
      <c r="E12" s="17" t="n">
        <v>300</v>
      </c>
      <c r="F12" s="17" t="n">
        <v>3500</v>
      </c>
      <c r="G12" s="17" t="n">
        <v>300</v>
      </c>
      <c r="H12" s="17" t="n">
        <v>2</v>
      </c>
      <c r="I12" s="17" t="n">
        <v>2</v>
      </c>
      <c r="J12" s="17" t="n">
        <v>5</v>
      </c>
      <c r="K12" s="17" t="n">
        <v>5</v>
      </c>
      <c r="L12" s="17" t="n">
        <v>4</v>
      </c>
      <c r="M12" s="17" t="n">
        <v>3</v>
      </c>
      <c r="N12" s="17" t="n">
        <v>3</v>
      </c>
      <c r="O12" s="17" t="n">
        <v>2</v>
      </c>
      <c r="P12" s="17" t="n">
        <v>4</v>
      </c>
      <c r="Q12" s="17" t="n">
        <v>2</v>
      </c>
      <c r="R12" s="17" t="n">
        <v>3</v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40" customWidth="1" min="4" max="4"/>
    <col width="2" customWidth="1" min="5" max="5"/>
    <col width="36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Scoring &amp; Weighted Calculation Model</t>
        </is>
      </c>
    </row>
    <row r="2">
      <c r="A2" s="6" t="inlineStr">
        <is>
          <t>Adjust weights (0–1). Scores are calculated per pile system using database ratings + project inputs.</t>
        </is>
      </c>
    </row>
    <row r="4">
      <c r="A4" s="15" t="inlineStr">
        <is>
          <t>Criterion</t>
        </is>
      </c>
      <c r="B4" s="15" t="inlineStr">
        <is>
          <t>Weight</t>
        </is>
      </c>
      <c r="C4" s="15" t="inlineStr">
        <is>
          <t>Driver (from Sheet 2)</t>
        </is>
      </c>
      <c r="D4" s="15" t="inlineStr">
        <is>
          <t>Score logic (transparent)</t>
        </is>
      </c>
      <c r="F4" s="15" t="inlineStr">
        <is>
          <t>Criterion</t>
        </is>
      </c>
      <c r="G4" s="15" t="inlineStr">
        <is>
          <t>Screw piles</t>
        </is>
      </c>
      <c r="H4" s="15" t="inlineStr">
        <is>
          <t>Steel pipe (driven)</t>
        </is>
      </c>
      <c r="I4" s="15" t="inlineStr">
        <is>
          <t>Steel pipe (bored)</t>
        </is>
      </c>
      <c r="J4" s="15" t="inlineStr">
        <is>
          <t>Prefab concrete (driven)</t>
        </is>
      </c>
      <c r="K4" s="15" t="inlineStr">
        <is>
          <t>CFA (continuous flight auger)</t>
        </is>
      </c>
      <c r="L4" s="15" t="inlineStr">
        <is>
          <t>Bored cast-in-place</t>
        </is>
      </c>
      <c r="M4" s="15" t="inlineStr">
        <is>
          <t>Micropiles</t>
        </is>
      </c>
      <c r="N4" s="15" t="inlineStr">
        <is>
          <t>H-piles (driven steel)</t>
        </is>
      </c>
    </row>
    <row r="5">
      <c r="A5" s="16" t="inlineStr">
        <is>
          <t>Capacity fit (compression)</t>
        </is>
      </c>
      <c r="B5" s="18" t="n">
        <v>0.18</v>
      </c>
      <c r="C5" s="16" t="inlineStr">
        <is>
          <t>Req. compression vs DB min/max</t>
        </is>
      </c>
      <c r="D5" s="16" t="inlineStr">
        <is>
          <t>5 if within range; 3 if slightly above min; 1 if exceeds max</t>
        </is>
      </c>
      <c r="F5" s="19" t="inlineStr">
        <is>
          <t>Capacity fit (compression)</t>
        </is>
      </c>
      <c r="G5" s="20">
        <f>IF('2_Project_Input'!B14&lt;=(INDEX(tblPileDB[Max_Capacity_kN],MATCH(G$4,tblPileDB[Pile_System],0))),IF('2_Project_Input'!B14&gt;=(INDEX(tblPileDB[Min_Capacity_kN],MATCH(G$4,tblPileDB[Pile_System],0))),5,3),1)</f>
        <v/>
      </c>
      <c r="H5" s="20">
        <f>IF('2_Project_Input'!B14&lt;=(INDEX(tblPileDB[Max_Capacity_kN],MATCH(H$4,tblPileDB[Pile_System],0))),IF('2_Project_Input'!B14&gt;=(INDEX(tblPileDB[Min_Capacity_kN],MATCH(H$4,tblPileDB[Pile_System],0))),5,3),1)</f>
        <v/>
      </c>
      <c r="I5" s="20">
        <f>IF('2_Project_Input'!B14&lt;=(INDEX(tblPileDB[Max_Capacity_kN],MATCH(I$4,tblPileDB[Pile_System],0))),IF('2_Project_Input'!B14&gt;=(INDEX(tblPileDB[Min_Capacity_kN],MATCH(I$4,tblPileDB[Pile_System],0))),5,3),1)</f>
        <v/>
      </c>
      <c r="J5" s="20">
        <f>IF('2_Project_Input'!B14&lt;=(INDEX(tblPileDB[Max_Capacity_kN],MATCH(J$4,tblPileDB[Pile_System],0))),IF('2_Project_Input'!B14&gt;=(INDEX(tblPileDB[Min_Capacity_kN],MATCH(J$4,tblPileDB[Pile_System],0))),5,3),1)</f>
        <v/>
      </c>
      <c r="K5" s="20">
        <f>IF('2_Project_Input'!B14&lt;=(INDEX(tblPileDB[Max_Capacity_kN],MATCH(K$4,tblPileDB[Pile_System],0))),IF('2_Project_Input'!B14&gt;=(INDEX(tblPileDB[Min_Capacity_kN],MATCH(K$4,tblPileDB[Pile_System],0))),5,3),1)</f>
        <v/>
      </c>
      <c r="L5" s="20">
        <f>IF('2_Project_Input'!B14&lt;=(INDEX(tblPileDB[Max_Capacity_kN],MATCH(L$4,tblPileDB[Pile_System],0))),IF('2_Project_Input'!B14&gt;=(INDEX(tblPileDB[Min_Capacity_kN],MATCH(L$4,tblPileDB[Pile_System],0))),5,3),1)</f>
        <v/>
      </c>
      <c r="M5" s="20">
        <f>IF('2_Project_Input'!B14&lt;=(INDEX(tblPileDB[Max_Capacity_kN],MATCH(M$4,tblPileDB[Pile_System],0))),IF('2_Project_Input'!B14&gt;=(INDEX(tblPileDB[Min_Capacity_kN],MATCH(M$4,tblPileDB[Pile_System],0))),5,3),1)</f>
        <v/>
      </c>
      <c r="N5" s="20">
        <f>IF('2_Project_Input'!B14&lt;=(INDEX(tblPileDB[Max_Capacity_kN],MATCH(N$4,tblPileDB[Pile_System],0))),IF('2_Project_Input'!B14&gt;=(INDEX(tblPileDB[Min_Capacity_kN],MATCH(N$4,tblPileDB[Pile_System],0))),5,3),1)</f>
        <v/>
      </c>
    </row>
    <row r="6">
      <c r="A6" s="16" t="inlineStr">
        <is>
          <t>Vibration (if sensitive)</t>
        </is>
      </c>
      <c r="B6" s="18" t="n">
        <v>0.1</v>
      </c>
      <c r="C6" s="16" t="inlineStr">
        <is>
          <t>Vibration sensitive? (Yes/No)</t>
        </is>
      </c>
      <c r="D6" s="16" t="inlineStr">
        <is>
          <t>If Yes → use DB Vibration_Rating, else neutral 3</t>
        </is>
      </c>
      <c r="F6" s="19" t="inlineStr">
        <is>
          <t>Vibration (if sensitive)</t>
        </is>
      </c>
      <c r="G6" s="20">
        <f>IF('2_Project_Input'!B5="Yes",INDEX(tblPileDB[Vibration_Rating],MATCH(G$4,tblPileDB[Pile_System],0)),3)</f>
        <v/>
      </c>
      <c r="H6" s="20">
        <f>IF('2_Project_Input'!B5="Yes",INDEX(tblPileDB[Vibration_Rating],MATCH(H$4,tblPileDB[Pile_System],0)),3)</f>
        <v/>
      </c>
      <c r="I6" s="20">
        <f>IF('2_Project_Input'!B5="Yes",INDEX(tblPileDB[Vibration_Rating],MATCH(I$4,tblPileDB[Pile_System],0)),3)</f>
        <v/>
      </c>
      <c r="J6" s="20">
        <f>IF('2_Project_Input'!B5="Yes",INDEX(tblPileDB[Vibration_Rating],MATCH(J$4,tblPileDB[Pile_System],0)),3)</f>
        <v/>
      </c>
      <c r="K6" s="20">
        <f>IF('2_Project_Input'!B5="Yes",INDEX(tblPileDB[Vibration_Rating],MATCH(K$4,tblPileDB[Pile_System],0)),3)</f>
        <v/>
      </c>
      <c r="L6" s="20">
        <f>IF('2_Project_Input'!B5="Yes",INDEX(tblPileDB[Vibration_Rating],MATCH(L$4,tblPileDB[Pile_System],0)),3)</f>
        <v/>
      </c>
      <c r="M6" s="20">
        <f>IF('2_Project_Input'!B5="Yes",INDEX(tblPileDB[Vibration_Rating],MATCH(M$4,tblPileDB[Pile_System],0)),3)</f>
        <v/>
      </c>
      <c r="N6" s="20">
        <f>IF('2_Project_Input'!B5="Yes",INDEX(tblPileDB[Vibration_Rating],MATCH(N$4,tblPileDB[Pile_System],0)),3)</f>
        <v/>
      </c>
    </row>
    <row r="7">
      <c r="A7" s="16" t="inlineStr">
        <is>
          <t>Noise (if restricted)</t>
        </is>
      </c>
      <c r="B7" s="18" t="n">
        <v>0.08</v>
      </c>
      <c r="C7" s="16" t="inlineStr">
        <is>
          <t>Noise restrictions? (Yes/No)</t>
        </is>
      </c>
      <c r="D7" s="16" t="inlineStr">
        <is>
          <t>If Yes → use DB Noise_Rating, else neutral 3</t>
        </is>
      </c>
      <c r="F7" s="19" t="inlineStr">
        <is>
          <t>Noise (if restricted)</t>
        </is>
      </c>
      <c r="G7" s="20">
        <f>IF('2_Project_Input'!B6="Yes",INDEX(tblPileDB[Noise_Rating],MATCH(G$4,tblPileDB[Pile_System],0)),3)</f>
        <v/>
      </c>
      <c r="H7" s="20">
        <f>IF('2_Project_Input'!B6="Yes",INDEX(tblPileDB[Noise_Rating],MATCH(H$4,tblPileDB[Pile_System],0)),3)</f>
        <v/>
      </c>
      <c r="I7" s="20">
        <f>IF('2_Project_Input'!B6="Yes",INDEX(tblPileDB[Noise_Rating],MATCH(I$4,tblPileDB[Pile_System],0)),3)</f>
        <v/>
      </c>
      <c r="J7" s="20">
        <f>IF('2_Project_Input'!B6="Yes",INDEX(tblPileDB[Noise_Rating],MATCH(J$4,tblPileDB[Pile_System],0)),3)</f>
        <v/>
      </c>
      <c r="K7" s="20">
        <f>IF('2_Project_Input'!B6="Yes",INDEX(tblPileDB[Noise_Rating],MATCH(K$4,tblPileDB[Pile_System],0)),3)</f>
        <v/>
      </c>
      <c r="L7" s="20">
        <f>IF('2_Project_Input'!B6="Yes",INDEX(tblPileDB[Noise_Rating],MATCH(L$4,tblPileDB[Pile_System],0)),3)</f>
        <v/>
      </c>
      <c r="M7" s="20">
        <f>IF('2_Project_Input'!B6="Yes",INDEX(tblPileDB[Noise_Rating],MATCH(M$4,tblPileDB[Pile_System],0)),3)</f>
        <v/>
      </c>
      <c r="N7" s="20">
        <f>IF('2_Project_Input'!B6="Yes",INDEX(tblPileDB[Noise_Rating],MATCH(N$4,tblPileDB[Pile_System],0)),3)</f>
        <v/>
      </c>
    </row>
    <row r="8">
      <c r="A8" s="16" t="inlineStr">
        <is>
          <t>Access / low headroom</t>
        </is>
      </c>
      <c r="B8" s="18" t="n">
        <v>0.08</v>
      </c>
      <c r="C8" s="16" t="inlineStr">
        <is>
          <t>Low headroom? (Yes/No)</t>
        </is>
      </c>
      <c r="D8" s="16" t="inlineStr">
        <is>
          <t>If Yes → penalize systems needing large rigs (via Speed proxy); else 3</t>
        </is>
      </c>
      <c r="F8" s="19" t="inlineStr">
        <is>
          <t>Access / low headroom</t>
        </is>
      </c>
      <c r="G8" s="20">
        <f>IF('2_Project_Input'!B7="Yes",MAX(1,MIN(5,INDEX(tblPileDB[Speed_Rating],MATCH(G$4,tblPileDB[Pile_System],0))-1)),3)</f>
        <v/>
      </c>
      <c r="H8" s="20">
        <f>IF('2_Project_Input'!B7="Yes",MAX(1,MIN(5,INDEX(tblPileDB[Speed_Rating],MATCH(H$4,tblPileDB[Pile_System],0))-1)),3)</f>
        <v/>
      </c>
      <c r="I8" s="20">
        <f>IF('2_Project_Input'!B7="Yes",MAX(1,MIN(5,INDEX(tblPileDB[Speed_Rating],MATCH(I$4,tblPileDB[Pile_System],0))-1)),3)</f>
        <v/>
      </c>
      <c r="J8" s="20">
        <f>IF('2_Project_Input'!B7="Yes",MAX(1,MIN(5,INDEX(tblPileDB[Speed_Rating],MATCH(J$4,tblPileDB[Pile_System],0))-1)),3)</f>
        <v/>
      </c>
      <c r="K8" s="20">
        <f>IF('2_Project_Input'!B7="Yes",MAX(1,MIN(5,INDEX(tblPileDB[Speed_Rating],MATCH(K$4,tblPileDB[Pile_System],0))-1)),3)</f>
        <v/>
      </c>
      <c r="L8" s="20">
        <f>IF('2_Project_Input'!B7="Yes",MAX(1,MIN(5,INDEX(tblPileDB[Speed_Rating],MATCH(L$4,tblPileDB[Pile_System],0))-1)),3)</f>
        <v/>
      </c>
      <c r="M8" s="20">
        <f>IF('2_Project_Input'!B7="Yes",MAX(1,MIN(5,INDEX(tblPileDB[Speed_Rating],MATCH(M$4,tblPileDB[Pile_System],0))-1)),3)</f>
        <v/>
      </c>
      <c r="N8" s="20">
        <f>IF('2_Project_Input'!B7="Yes",MAX(1,MIN(5,INDEX(tblPileDB[Speed_Rating],MATCH(N$4,tblPileDB[Pile_System],0))-1)),3)</f>
        <v/>
      </c>
    </row>
    <row r="9">
      <c r="A9" s="16" t="inlineStr">
        <is>
          <t>Obstructions tolerance</t>
        </is>
      </c>
      <c r="B9" s="18" t="n">
        <v>0.1</v>
      </c>
      <c r="C9" s="16" t="inlineStr">
        <is>
          <t>Obstructions expected? (Yes/No)</t>
        </is>
      </c>
      <c r="D9" s="16" t="inlineStr">
        <is>
          <t>If Yes → use DB Obstruction_Tolerance, else 3</t>
        </is>
      </c>
      <c r="F9" s="19" t="inlineStr">
        <is>
          <t>Obstructions tolerance</t>
        </is>
      </c>
      <c r="G9" s="20">
        <f>IF('2_Project_Input'!B23="Yes",INDEX(tblPileDB[Obstruction_Tolerance],MATCH(G$4,tblPileDB[Pile_System],0)),3)</f>
        <v/>
      </c>
      <c r="H9" s="20">
        <f>IF('2_Project_Input'!B23="Yes",INDEX(tblPileDB[Obstruction_Tolerance],MATCH(H$4,tblPileDB[Pile_System],0)),3)</f>
        <v/>
      </c>
      <c r="I9" s="20">
        <f>IF('2_Project_Input'!B23="Yes",INDEX(tblPileDB[Obstruction_Tolerance],MATCH(I$4,tblPileDB[Pile_System],0)),3)</f>
        <v/>
      </c>
      <c r="J9" s="20">
        <f>IF('2_Project_Input'!B23="Yes",INDEX(tblPileDB[Obstruction_Tolerance],MATCH(J$4,tblPileDB[Pile_System],0)),3)</f>
        <v/>
      </c>
      <c r="K9" s="20">
        <f>IF('2_Project_Input'!B23="Yes",INDEX(tblPileDB[Obstruction_Tolerance],MATCH(K$4,tblPileDB[Pile_System],0)),3)</f>
        <v/>
      </c>
      <c r="L9" s="20">
        <f>IF('2_Project_Input'!B23="Yes",INDEX(tblPileDB[Obstruction_Tolerance],MATCH(L$4,tblPileDB[Pile_System],0)),3)</f>
        <v/>
      </c>
      <c r="M9" s="20">
        <f>IF('2_Project_Input'!B23="Yes",INDEX(tblPileDB[Obstruction_Tolerance],MATCH(M$4,tblPileDB[Pile_System],0)),3)</f>
        <v/>
      </c>
      <c r="N9" s="20">
        <f>IF('2_Project_Input'!B23="Yes",INDEX(tblPileDB[Obstruction_Tolerance],MATCH(N$4,tblPileDB[Pile_System],0)),3)</f>
        <v/>
      </c>
    </row>
    <row r="10">
      <c r="A10" s="16" t="inlineStr">
        <is>
          <t>Water table suitability</t>
        </is>
      </c>
      <c r="B10" s="18" t="n">
        <v>0.08</v>
      </c>
      <c r="C10" s="16" t="inlineStr">
        <is>
          <t>Water table level</t>
        </is>
      </c>
      <c r="D10" s="16" t="inlineStr">
        <is>
          <t>If High → use DB WaterTable_Suitability; Medium → average with 3; Low → 3</t>
        </is>
      </c>
      <c r="F10" s="19" t="inlineStr">
        <is>
          <t>Water table suitability</t>
        </is>
      </c>
      <c r="G10" s="20">
        <f>IF('2_Project_Input'!B24="High",INDEX(tblPileDB[WaterTable_Suitability],MATCH(G$4,tblPileDB[Pile_System],0)),IF('2_Project_Input'!B24="Medium",AVERAGE(INDEX(tblPileDB[WaterTable_Suitability],MATCH(G$4,tblPileDB[Pile_System],0)),3),3))</f>
        <v/>
      </c>
      <c r="H10" s="20">
        <f>IF('2_Project_Input'!B24="High",INDEX(tblPileDB[WaterTable_Suitability],MATCH(H$4,tblPileDB[Pile_System],0)),IF('2_Project_Input'!B24="Medium",AVERAGE(INDEX(tblPileDB[WaterTable_Suitability],MATCH(H$4,tblPileDB[Pile_System],0)),3),3))</f>
        <v/>
      </c>
      <c r="I10" s="20">
        <f>IF('2_Project_Input'!B24="High",INDEX(tblPileDB[WaterTable_Suitability],MATCH(I$4,tblPileDB[Pile_System],0)),IF('2_Project_Input'!B24="Medium",AVERAGE(INDEX(tblPileDB[WaterTable_Suitability],MATCH(I$4,tblPileDB[Pile_System],0)),3),3))</f>
        <v/>
      </c>
      <c r="J10" s="20">
        <f>IF('2_Project_Input'!B24="High",INDEX(tblPileDB[WaterTable_Suitability],MATCH(J$4,tblPileDB[Pile_System],0)),IF('2_Project_Input'!B24="Medium",AVERAGE(INDEX(tblPileDB[WaterTable_Suitability],MATCH(J$4,tblPileDB[Pile_System],0)),3),3))</f>
        <v/>
      </c>
      <c r="K10" s="20">
        <f>IF('2_Project_Input'!B24="High",INDEX(tblPileDB[WaterTable_Suitability],MATCH(K$4,tblPileDB[Pile_System],0)),IF('2_Project_Input'!B24="Medium",AVERAGE(INDEX(tblPileDB[WaterTable_Suitability],MATCH(K$4,tblPileDB[Pile_System],0)),3),3))</f>
        <v/>
      </c>
      <c r="L10" s="20">
        <f>IF('2_Project_Input'!B24="High",INDEX(tblPileDB[WaterTable_Suitability],MATCH(L$4,tblPileDB[Pile_System],0)),IF('2_Project_Input'!B24="Medium",AVERAGE(INDEX(tblPileDB[WaterTable_Suitability],MATCH(L$4,tblPileDB[Pile_System],0)),3),3))</f>
        <v/>
      </c>
      <c r="M10" s="20">
        <f>IF('2_Project_Input'!B24="High",INDEX(tblPileDB[WaterTable_Suitability],MATCH(M$4,tblPileDB[Pile_System],0)),IF('2_Project_Input'!B24="Medium",AVERAGE(INDEX(tblPileDB[WaterTable_Suitability],MATCH(M$4,tblPileDB[Pile_System],0)),3),3))</f>
        <v/>
      </c>
      <c r="N10" s="20">
        <f>IF('2_Project_Input'!B24="High",INDEX(tblPileDB[WaterTable_Suitability],MATCH(N$4,tblPileDB[Pile_System],0)),IF('2_Project_Input'!B24="Medium",AVERAGE(INDEX(tblPileDB[WaterTable_Suitability],MATCH(N$4,tblPileDB[Pile_System],0)),3),3))</f>
        <v/>
      </c>
    </row>
    <row r="11">
      <c r="A11" s="16" t="inlineStr">
        <is>
          <t>Corrosion suitability</t>
        </is>
      </c>
      <c r="B11" s="18" t="n">
        <v>0.08</v>
      </c>
      <c r="C11" s="16" t="inlineStr">
        <is>
          <t>Corrosion risk</t>
        </is>
      </c>
      <c r="D11" s="16" t="inlineStr">
        <is>
          <t>If High → use DB Corrosion_Suitability; Medium → average with 3; Low → 3</t>
        </is>
      </c>
      <c r="F11" s="19" t="inlineStr">
        <is>
          <t>Corrosion suitability</t>
        </is>
      </c>
      <c r="G11" s="20">
        <f>IF('2_Project_Input'!B25="High",INDEX(tblPileDB[Corrosion_Suitability],MATCH(G$4,tblPileDB[Pile_System],0)),IF('2_Project_Input'!B25="Medium",AVERAGE(INDEX(tblPileDB[Corrosion_Suitability],MATCH(G$4,tblPileDB[Pile_System],0)),3),3))</f>
        <v/>
      </c>
      <c r="H11" s="20">
        <f>IF('2_Project_Input'!B25="High",INDEX(tblPileDB[Corrosion_Suitability],MATCH(H$4,tblPileDB[Pile_System],0)),IF('2_Project_Input'!B25="Medium",AVERAGE(INDEX(tblPileDB[Corrosion_Suitability],MATCH(H$4,tblPileDB[Pile_System],0)),3),3))</f>
        <v/>
      </c>
      <c r="I11" s="20">
        <f>IF('2_Project_Input'!B25="High",INDEX(tblPileDB[Corrosion_Suitability],MATCH(I$4,tblPileDB[Pile_System],0)),IF('2_Project_Input'!B25="Medium",AVERAGE(INDEX(tblPileDB[Corrosion_Suitability],MATCH(I$4,tblPileDB[Pile_System],0)),3),3))</f>
        <v/>
      </c>
      <c r="J11" s="20">
        <f>IF('2_Project_Input'!B25="High",INDEX(tblPileDB[Corrosion_Suitability],MATCH(J$4,tblPileDB[Pile_System],0)),IF('2_Project_Input'!B25="Medium",AVERAGE(INDEX(tblPileDB[Corrosion_Suitability],MATCH(J$4,tblPileDB[Pile_System],0)),3),3))</f>
        <v/>
      </c>
      <c r="K11" s="20">
        <f>IF('2_Project_Input'!B25="High",INDEX(tblPileDB[Corrosion_Suitability],MATCH(K$4,tblPileDB[Pile_System],0)),IF('2_Project_Input'!B25="Medium",AVERAGE(INDEX(tblPileDB[Corrosion_Suitability],MATCH(K$4,tblPileDB[Pile_System],0)),3),3))</f>
        <v/>
      </c>
      <c r="L11" s="20">
        <f>IF('2_Project_Input'!B25="High",INDEX(tblPileDB[Corrosion_Suitability],MATCH(L$4,tblPileDB[Pile_System],0)),IF('2_Project_Input'!B25="Medium",AVERAGE(INDEX(tblPileDB[Corrosion_Suitability],MATCH(L$4,tblPileDB[Pile_System],0)),3),3))</f>
        <v/>
      </c>
      <c r="M11" s="20">
        <f>IF('2_Project_Input'!B25="High",INDEX(tblPileDB[Corrosion_Suitability],MATCH(M$4,tblPileDB[Pile_System],0)),IF('2_Project_Input'!B25="Medium",AVERAGE(INDEX(tblPileDB[Corrosion_Suitability],MATCH(M$4,tblPileDB[Pile_System],0)),3),3))</f>
        <v/>
      </c>
      <c r="N11" s="20">
        <f>IF('2_Project_Input'!B25="High",INDEX(tblPileDB[Corrosion_Suitability],MATCH(N$4,tblPileDB[Pile_System],0)),IF('2_Project_Input'!B25="Medium",AVERAGE(INDEX(tblPileDB[Corrosion_Suitability],MATCH(N$4,tblPileDB[Pile_System],0)),3),3))</f>
        <v/>
      </c>
    </row>
    <row r="12">
      <c r="A12" s="16" t="inlineStr">
        <is>
          <t>Speed / schedule</t>
        </is>
      </c>
      <c r="B12" s="18" t="n">
        <v>0.1</v>
      </c>
      <c r="C12" s="16" t="inlineStr">
        <is>
          <t>Schedule critical? (Yes/No)</t>
        </is>
      </c>
      <c r="D12" s="16" t="inlineStr">
        <is>
          <t>If Yes → use DB Speed_Rating; else 3</t>
        </is>
      </c>
      <c r="F12" s="19" t="inlineStr">
        <is>
          <t>Speed / schedule</t>
        </is>
      </c>
      <c r="G12" s="20">
        <f>IF('2_Project_Input'!B10="Yes",INDEX(tblPileDB[Speed_Rating],MATCH(G$4,tblPileDB[Pile_System],0)),3)</f>
        <v/>
      </c>
      <c r="H12" s="20">
        <f>IF('2_Project_Input'!B10="Yes",INDEX(tblPileDB[Speed_Rating],MATCH(H$4,tblPileDB[Pile_System],0)),3)</f>
        <v/>
      </c>
      <c r="I12" s="20">
        <f>IF('2_Project_Input'!B10="Yes",INDEX(tblPileDB[Speed_Rating],MATCH(I$4,tblPileDB[Pile_System],0)),3)</f>
        <v/>
      </c>
      <c r="J12" s="20">
        <f>IF('2_Project_Input'!B10="Yes",INDEX(tblPileDB[Speed_Rating],MATCH(J$4,tblPileDB[Pile_System],0)),3)</f>
        <v/>
      </c>
      <c r="K12" s="20">
        <f>IF('2_Project_Input'!B10="Yes",INDEX(tblPileDB[Speed_Rating],MATCH(K$4,tblPileDB[Pile_System],0)),3)</f>
        <v/>
      </c>
      <c r="L12" s="20">
        <f>IF('2_Project_Input'!B10="Yes",INDEX(tblPileDB[Speed_Rating],MATCH(L$4,tblPileDB[Pile_System],0)),3)</f>
        <v/>
      </c>
      <c r="M12" s="20">
        <f>IF('2_Project_Input'!B10="Yes",INDEX(tblPileDB[Speed_Rating],MATCH(M$4,tblPileDB[Pile_System],0)),3)</f>
        <v/>
      </c>
      <c r="N12" s="20">
        <f>IF('2_Project_Input'!B10="Yes",INDEX(tblPileDB[Speed_Rating],MATCH(N$4,tblPileDB[Pile_System],0)),3)</f>
        <v/>
      </c>
    </row>
    <row r="13">
      <c r="A13" s="16" t="inlineStr">
        <is>
          <t>Spoil / environmental</t>
        </is>
      </c>
      <c r="B13" s="18" t="n">
        <v>0.08</v>
      </c>
      <c r="C13" s="16" t="inlineStr">
        <is>
          <t>Environmental constraints? (Yes/No)</t>
        </is>
      </c>
      <c r="D13" s="16" t="inlineStr">
        <is>
          <t>If Yes → use DB Spoil_Rating; else 3</t>
        </is>
      </c>
      <c r="F13" s="19" t="inlineStr">
        <is>
          <t>Spoil / environmental</t>
        </is>
      </c>
      <c r="G13" s="20">
        <f>IF('2_Project_Input'!B9="Yes",INDEX(tblPileDB[Spoil_Rating],MATCH(G$4,tblPileDB[Pile_System],0)),3)</f>
        <v/>
      </c>
      <c r="H13" s="20">
        <f>IF('2_Project_Input'!B9="Yes",INDEX(tblPileDB[Spoil_Rating],MATCH(H$4,tblPileDB[Pile_System],0)),3)</f>
        <v/>
      </c>
      <c r="I13" s="20">
        <f>IF('2_Project_Input'!B9="Yes",INDEX(tblPileDB[Spoil_Rating],MATCH(I$4,tblPileDB[Pile_System],0)),3)</f>
        <v/>
      </c>
      <c r="J13" s="20">
        <f>IF('2_Project_Input'!B9="Yes",INDEX(tblPileDB[Spoil_Rating],MATCH(J$4,tblPileDB[Pile_System],0)),3)</f>
        <v/>
      </c>
      <c r="K13" s="20">
        <f>IF('2_Project_Input'!B9="Yes",INDEX(tblPileDB[Spoil_Rating],MATCH(K$4,tblPileDB[Pile_System],0)),3)</f>
        <v/>
      </c>
      <c r="L13" s="20">
        <f>IF('2_Project_Input'!B9="Yes",INDEX(tblPileDB[Spoil_Rating],MATCH(L$4,tblPileDB[Pile_System],0)),3)</f>
        <v/>
      </c>
      <c r="M13" s="20">
        <f>IF('2_Project_Input'!B9="Yes",INDEX(tblPileDB[Spoil_Rating],MATCH(M$4,tblPileDB[Pile_System],0)),3)</f>
        <v/>
      </c>
      <c r="N13" s="20">
        <f>IF('2_Project_Input'!B9="Yes",INDEX(tblPileDB[Spoil_Rating],MATCH(N$4,tblPileDB[Pile_System],0)),3)</f>
        <v/>
      </c>
    </row>
    <row r="14">
      <c r="A14" s="16" t="inlineStr">
        <is>
          <t>QA / controllability</t>
        </is>
      </c>
      <c r="B14" s="18" t="n">
        <v>0.07000000000000001</v>
      </c>
      <c r="C14" s="16" t="inlineStr">
        <is>
          <t>Always</t>
        </is>
      </c>
      <c r="D14" s="16" t="inlineStr">
        <is>
          <t>Use DB QA_Controllability</t>
        </is>
      </c>
      <c r="F14" s="19" t="inlineStr">
        <is>
          <t>QA / controllability</t>
        </is>
      </c>
      <c r="G14" s="20">
        <f>INDEX(tblPileDB[QA_Controllability],MATCH(G$4,tblPileDB[Pile_System],0))</f>
        <v/>
      </c>
      <c r="H14" s="20">
        <f>INDEX(tblPileDB[QA_Controllability],MATCH(H$4,tblPileDB[Pile_System],0))</f>
        <v/>
      </c>
      <c r="I14" s="20">
        <f>INDEX(tblPileDB[QA_Controllability],MATCH(I$4,tblPileDB[Pile_System],0))</f>
        <v/>
      </c>
      <c r="J14" s="20">
        <f>INDEX(tblPileDB[QA_Controllability],MATCH(J$4,tblPileDB[Pile_System],0))</f>
        <v/>
      </c>
      <c r="K14" s="20">
        <f>INDEX(tblPileDB[QA_Controllability],MATCH(K$4,tblPileDB[Pile_System],0))</f>
        <v/>
      </c>
      <c r="L14" s="20">
        <f>INDEX(tblPileDB[QA_Controllability],MATCH(L$4,tblPileDB[Pile_System],0))</f>
        <v/>
      </c>
      <c r="M14" s="20">
        <f>INDEX(tblPileDB[QA_Controllability],MATCH(M$4,tblPileDB[Pile_System],0))</f>
        <v/>
      </c>
      <c r="N14" s="20">
        <f>INDEX(tblPileDB[QA_Controllability],MATCH(N$4,tblPileDB[Pile_System],0))</f>
        <v/>
      </c>
    </row>
    <row r="15">
      <c r="A15" s="16" t="inlineStr">
        <is>
          <t>Removability / temporary</t>
        </is>
      </c>
      <c r="B15" s="18" t="n">
        <v>0.03</v>
      </c>
      <c r="C15" s="16" t="inlineStr">
        <is>
          <t>Temporary works? (Yes/No)</t>
        </is>
      </c>
      <c r="D15" s="16" t="inlineStr">
        <is>
          <t>If Yes → use DB Removability; else 3</t>
        </is>
      </c>
      <c r="F15" s="19" t="inlineStr">
        <is>
          <t>Removability / temporary</t>
        </is>
      </c>
      <c r="G15" s="20">
        <f>IF('2_Project_Input'!B11="Yes",INDEX(tblPileDB[Removability],MATCH(G$4,tblPileDB[Pile_System],0)),3)</f>
        <v/>
      </c>
      <c r="H15" s="20">
        <f>IF('2_Project_Input'!B11="Yes",INDEX(tblPileDB[Removability],MATCH(H$4,tblPileDB[Pile_System],0)),3)</f>
        <v/>
      </c>
      <c r="I15" s="20">
        <f>IF('2_Project_Input'!B11="Yes",INDEX(tblPileDB[Removability],MATCH(I$4,tblPileDB[Pile_System],0)),3)</f>
        <v/>
      </c>
      <c r="J15" s="20">
        <f>IF('2_Project_Input'!B11="Yes",INDEX(tblPileDB[Removability],MATCH(J$4,tblPileDB[Pile_System],0)),3)</f>
        <v/>
      </c>
      <c r="K15" s="20">
        <f>IF('2_Project_Input'!B11="Yes",INDEX(tblPileDB[Removability],MATCH(K$4,tblPileDB[Pile_System],0)),3)</f>
        <v/>
      </c>
      <c r="L15" s="20">
        <f>IF('2_Project_Input'!B11="Yes",INDEX(tblPileDB[Removability],MATCH(L$4,tblPileDB[Pile_System],0)),3)</f>
        <v/>
      </c>
      <c r="M15" s="20">
        <f>IF('2_Project_Input'!B11="Yes",INDEX(tblPileDB[Removability],MATCH(M$4,tblPileDB[Pile_System],0)),3)</f>
        <v/>
      </c>
      <c r="N15" s="20">
        <f>IF('2_Project_Input'!B11="Yes",INDEX(tblPileDB[Removability],MATCH(N$4,tblPileDB[Pile_System],0)),3)</f>
        <v/>
      </c>
    </row>
    <row r="16">
      <c r="A16" s="16" t="inlineStr">
        <is>
          <t>Carbon impact (relative)</t>
        </is>
      </c>
      <c r="B16" s="18" t="n">
        <v>0.02</v>
      </c>
      <c r="C16" s="16" t="inlineStr">
        <is>
          <t>Always</t>
        </is>
      </c>
      <c r="D16" s="16" t="inlineStr">
        <is>
          <t>Use DB Carbon_Impact</t>
        </is>
      </c>
      <c r="F16" s="19" t="inlineStr">
        <is>
          <t>Carbon impact (relative)</t>
        </is>
      </c>
      <c r="G16" s="20">
        <f>INDEX(tblPileDB[Carbon_Impact],MATCH(G$4,tblPileDB[Pile_System],0))</f>
        <v/>
      </c>
      <c r="H16" s="20">
        <f>INDEX(tblPileDB[Carbon_Impact],MATCH(H$4,tblPileDB[Pile_System],0))</f>
        <v/>
      </c>
      <c r="I16" s="20">
        <f>INDEX(tblPileDB[Carbon_Impact],MATCH(I$4,tblPileDB[Pile_System],0))</f>
        <v/>
      </c>
      <c r="J16" s="20">
        <f>INDEX(tblPileDB[Carbon_Impact],MATCH(J$4,tblPileDB[Pile_System],0))</f>
        <v/>
      </c>
      <c r="K16" s="20">
        <f>INDEX(tblPileDB[Carbon_Impact],MATCH(K$4,tblPileDB[Pile_System],0))</f>
        <v/>
      </c>
      <c r="L16" s="20">
        <f>INDEX(tblPileDB[Carbon_Impact],MATCH(L$4,tblPileDB[Pile_System],0))</f>
        <v/>
      </c>
      <c r="M16" s="20">
        <f>INDEX(tblPileDB[Carbon_Impact],MATCH(M$4,tblPileDB[Pile_System],0))</f>
        <v/>
      </c>
      <c r="N16" s="20">
        <f>INDEX(tblPileDB[Carbon_Impact],MATCH(N$4,tblPileDB[Pile_System],0))</f>
        <v/>
      </c>
    </row>
    <row r="17">
      <c r="A17" s="3" t="inlineStr">
        <is>
          <t>Weight sum check</t>
        </is>
      </c>
      <c r="B17" s="21">
        <f>SUM(B5:B16)</f>
        <v/>
      </c>
    </row>
    <row r="18">
      <c r="F18" s="7" t="inlineStr">
        <is>
          <t>Total score (weighted)</t>
        </is>
      </c>
      <c r="G18" s="22">
        <f>IF(SUM($B$5:$B$16)=0,"",SUMPRODUCT($B$5:$B$16,G$5:G$16)/SUM($B$5:$B$16))</f>
        <v/>
      </c>
      <c r="H18" s="22">
        <f>IF(SUM($B$5:$B$16)=0,"",SUMPRODUCT($B$5:$B$16,H$5:H$16)/SUM($B$5:$B$16))</f>
        <v/>
      </c>
      <c r="I18" s="22">
        <f>IF(SUM($B$5:$B$16)=0,"",SUMPRODUCT($B$5:$B$16,I$5:I$16)/SUM($B$5:$B$16))</f>
        <v/>
      </c>
      <c r="J18" s="22">
        <f>IF(SUM($B$5:$B$16)=0,"",SUMPRODUCT($B$5:$B$16,J$5:J$16)/SUM($B$5:$B$16))</f>
        <v/>
      </c>
      <c r="K18" s="22">
        <f>IF(SUM($B$5:$B$16)=0,"",SUMPRODUCT($B$5:$B$16,K$5:K$16)/SUM($B$5:$B$16))</f>
        <v/>
      </c>
      <c r="L18" s="22">
        <f>IF(SUM($B$5:$B$16)=0,"",SUMPRODUCT($B$5:$B$16,L$5:L$16)/SUM($B$5:$B$16))</f>
        <v/>
      </c>
      <c r="M18" s="22">
        <f>IF(SUM($B$5:$B$16)=0,"",SUMPRODUCT($B$5:$B$16,M$5:M$16)/SUM($B$5:$B$16))</f>
        <v/>
      </c>
      <c r="N18" s="22">
        <f>IF(SUM($B$5:$B$16)=0,"",SUMPRODUCT($B$5:$B$16,N$5:N$16)/SUM($B$5:$B$16))</f>
        <v/>
      </c>
    </row>
  </sheetData>
  <conditionalFormatting sqref="G18:N18">
    <cfRule type="expression" priority="1" dxfId="0">
      <formula>G18=MAX($G$18:$N$18)</formula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46" customWidth="1" min="4" max="4"/>
    <col width="2" customWidth="1" min="5" max="5"/>
    <col width="26" customWidth="1" min="6" max="6"/>
    <col width="12" customWidth="1" min="7" max="7"/>
  </cols>
  <sheetData>
    <row r="1">
      <c r="A1" s="1" t="inlineStr">
        <is>
          <t>Automatic Advice &amp; Conclusion</t>
        </is>
      </c>
    </row>
    <row r="2">
      <c r="A2" s="23" t="inlineStr">
        <is>
          <t>The ranking below is generated from the weighted scores on Sheet 4. Always verify with design standards and engineering judgment.</t>
        </is>
      </c>
    </row>
    <row r="4">
      <c r="A4" s="3" t="inlineStr">
        <is>
          <t>Results</t>
        </is>
      </c>
    </row>
    <row r="5">
      <c r="F5" s="6" t="inlineStr">
        <is>
          <t>System</t>
        </is>
      </c>
      <c r="G5" s="6" t="inlineStr">
        <is>
          <t>Score</t>
        </is>
      </c>
    </row>
    <row r="6">
      <c r="A6" s="15" t="inlineStr">
        <is>
          <t>Rank</t>
        </is>
      </c>
      <c r="B6" s="15" t="inlineStr">
        <is>
          <t>Pile System</t>
        </is>
      </c>
      <c r="C6" s="15" t="inlineStr">
        <is>
          <t>Total Score</t>
        </is>
      </c>
      <c r="D6" s="15" t="inlineStr">
        <is>
          <t>Flags / reminders</t>
        </is>
      </c>
      <c r="F6" t="inlineStr">
        <is>
          <t>Screw piles</t>
        </is>
      </c>
      <c r="G6" s="24">
        <f>'4_Scoring_Model'!G18</f>
        <v/>
      </c>
    </row>
    <row r="7">
      <c r="A7" s="25">
        <f>RANK.EQ(G6,$G$6:$G$13,0)</f>
        <v/>
      </c>
      <c r="B7" s="9">
        <f>F6</f>
        <v/>
      </c>
      <c r="C7" s="26">
        <f>G6</f>
        <v/>
      </c>
      <c r="D7" s="16">
        <f>TEXTJOIN(", ",TRUE,IF('2_Project_Input'!B5="Yes","check vibration",""),IF('2_Project_Input'!B6="Yes","check noise",""),IF('2_Project_Input'!B23="Yes","obstructions present",""),IF('2_Project_Input'!B24="High","high water table",""),IF('2_Project_Input'!B25="High","high corrosion",""),IF('2_Project_Input'!B26="Yes","shallow rock risk",""))</f>
        <v/>
      </c>
      <c r="F7" t="inlineStr">
        <is>
          <t>Steel pipe (driven)</t>
        </is>
      </c>
      <c r="G7" s="24">
        <f>'4_Scoring_Model'!H18</f>
        <v/>
      </c>
    </row>
    <row r="8">
      <c r="A8" s="25">
        <f>RANK.EQ(G7,$G$6:$G$13,0)</f>
        <v/>
      </c>
      <c r="B8" s="9">
        <f>F7</f>
        <v/>
      </c>
      <c r="C8" s="26">
        <f>G7</f>
        <v/>
      </c>
      <c r="D8" s="16">
        <f>TEXTJOIN(", ",TRUE,IF('2_Project_Input'!B5="Yes","check vibration",""),IF('2_Project_Input'!B6="Yes","check noise",""),IF('2_Project_Input'!B23="Yes","obstructions present",""),IF('2_Project_Input'!B24="High","high water table",""),IF('2_Project_Input'!B25="High","high corrosion",""),IF('2_Project_Input'!B26="Yes","shallow rock risk",""))</f>
        <v/>
      </c>
      <c r="F8" t="inlineStr">
        <is>
          <t>Steel pipe (bored)</t>
        </is>
      </c>
      <c r="G8" s="24">
        <f>'4_Scoring_Model'!I18</f>
        <v/>
      </c>
    </row>
    <row r="9">
      <c r="A9" s="25">
        <f>RANK.EQ(G8,$G$6:$G$13,0)</f>
        <v/>
      </c>
      <c r="B9" s="9">
        <f>F8</f>
        <v/>
      </c>
      <c r="C9" s="26">
        <f>G8</f>
        <v/>
      </c>
      <c r="D9" s="16">
        <f>TEXTJOIN(", ",TRUE,IF('2_Project_Input'!B5="Yes","check vibration",""),IF('2_Project_Input'!B6="Yes","check noise",""),IF('2_Project_Input'!B23="Yes","obstructions present",""),IF('2_Project_Input'!B24="High","high water table",""),IF('2_Project_Input'!B25="High","high corrosion",""),IF('2_Project_Input'!B26="Yes","shallow rock risk",""))</f>
        <v/>
      </c>
      <c r="F9" t="inlineStr">
        <is>
          <t>Prefab concrete (driven)</t>
        </is>
      </c>
      <c r="G9" s="24">
        <f>'4_Scoring_Model'!J18</f>
        <v/>
      </c>
    </row>
    <row r="10">
      <c r="A10" s="25">
        <f>RANK.EQ(G9,$G$6:$G$13,0)</f>
        <v/>
      </c>
      <c r="B10" s="9">
        <f>F9</f>
        <v/>
      </c>
      <c r="C10" s="26">
        <f>G9</f>
        <v/>
      </c>
      <c r="D10" s="16">
        <f>TEXTJOIN(", ",TRUE,IF('2_Project_Input'!B5="Yes","check vibration",""),IF('2_Project_Input'!B6="Yes","check noise",""),IF('2_Project_Input'!B23="Yes","obstructions present",""),IF('2_Project_Input'!B24="High","high water table",""),IF('2_Project_Input'!B25="High","high corrosion",""),IF('2_Project_Input'!B26="Yes","shallow rock risk",""))</f>
        <v/>
      </c>
      <c r="F10" t="inlineStr">
        <is>
          <t>CFA (continuous flight auger)</t>
        </is>
      </c>
      <c r="G10" s="24">
        <f>'4_Scoring_Model'!K18</f>
        <v/>
      </c>
    </row>
    <row r="11">
      <c r="A11" s="25">
        <f>RANK.EQ(G10,$G$6:$G$13,0)</f>
        <v/>
      </c>
      <c r="B11" s="9">
        <f>F10</f>
        <v/>
      </c>
      <c r="C11" s="26">
        <f>G10</f>
        <v/>
      </c>
      <c r="D11" s="16">
        <f>TEXTJOIN(", ",TRUE,IF('2_Project_Input'!B5="Yes","check vibration",""),IF('2_Project_Input'!B6="Yes","check noise",""),IF('2_Project_Input'!B23="Yes","obstructions present",""),IF('2_Project_Input'!B24="High","high water table",""),IF('2_Project_Input'!B25="High","high corrosion",""),IF('2_Project_Input'!B26="Yes","shallow rock risk",""))</f>
        <v/>
      </c>
      <c r="F11" t="inlineStr">
        <is>
          <t>Bored cast-in-place</t>
        </is>
      </c>
      <c r="G11" s="24">
        <f>'4_Scoring_Model'!L18</f>
        <v/>
      </c>
    </row>
    <row r="12">
      <c r="A12" s="25">
        <f>RANK.EQ(G11,$G$6:$G$13,0)</f>
        <v/>
      </c>
      <c r="B12" s="9">
        <f>F11</f>
        <v/>
      </c>
      <c r="C12" s="26">
        <f>G11</f>
        <v/>
      </c>
      <c r="D12" s="16">
        <f>TEXTJOIN(", ",TRUE,IF('2_Project_Input'!B5="Yes","check vibration",""),IF('2_Project_Input'!B6="Yes","check noise",""),IF('2_Project_Input'!B23="Yes","obstructions present",""),IF('2_Project_Input'!B24="High","high water table",""),IF('2_Project_Input'!B25="High","high corrosion",""),IF('2_Project_Input'!B26="Yes","shallow rock risk",""))</f>
        <v/>
      </c>
      <c r="F12" t="inlineStr">
        <is>
          <t>Micropiles</t>
        </is>
      </c>
      <c r="G12" s="24">
        <f>'4_Scoring_Model'!M18</f>
        <v/>
      </c>
    </row>
    <row r="13">
      <c r="A13" s="25">
        <f>RANK.EQ(G12,$G$6:$G$13,0)</f>
        <v/>
      </c>
      <c r="B13" s="9">
        <f>F12</f>
        <v/>
      </c>
      <c r="C13" s="26">
        <f>G12</f>
        <v/>
      </c>
      <c r="D13" s="16">
        <f>TEXTJOIN(", ",TRUE,IF('2_Project_Input'!B5="Yes","check vibration",""),IF('2_Project_Input'!B6="Yes","check noise",""),IF('2_Project_Input'!B23="Yes","obstructions present",""),IF('2_Project_Input'!B24="High","high water table",""),IF('2_Project_Input'!B25="High","high corrosion",""),IF('2_Project_Input'!B26="Yes","shallow rock risk",""))</f>
        <v/>
      </c>
      <c r="F13" t="inlineStr">
        <is>
          <t>H-piles (driven steel)</t>
        </is>
      </c>
      <c r="G13" s="24">
        <f>'4_Scoring_Model'!N18</f>
        <v/>
      </c>
    </row>
    <row r="14">
      <c r="A14" s="27" t="inlineStr">
        <is>
          <t>Recommended (Top ranked) pile system:</t>
        </is>
      </c>
      <c r="B14" s="28">
        <f>INDEX(B7:B14,MATCH(1,A7:A14,0))</f>
        <v/>
      </c>
      <c r="C14" s="26">
        <f>G13</f>
        <v/>
      </c>
      <c r="D14" s="16">
        <f>TEXTJOIN(", ",TRUE,IF('2_Project_Input'!B5="Yes","check vibration",""),IF('2_Project_Input'!B6="Yes","check noise",""),IF('2_Project_Input'!B23="Yes","obstructions present",""),IF('2_Project_Input'!B24="High","high water table",""),IF('2_Project_Input'!B25="High","high corrosion",""),IF('2_Project_Input'!B26="Yes","shallow rock risk",""))</f>
        <v/>
      </c>
    </row>
    <row r="15">
      <c r="B15" t="inlineStr">
        <is>
          <t>Top score:</t>
        </is>
      </c>
      <c r="C15" s="24">
        <f>INDEX(C7:C14,MATCH(1,A7:A14,0))</f>
        <v/>
      </c>
    </row>
    <row r="17">
      <c r="A17" s="3" t="inlineStr">
        <is>
          <t>Engineering reminders</t>
        </is>
      </c>
    </row>
    <row r="18">
      <c r="A18" s="14" t="inlineStr">
        <is>
          <t>This workbook provides a structured comparison only. Confirm with:
• Geotechnical interpretive report and laboratory/field test data
• Constructability review and local contractor capability
• Applicable codes/standards (e.g., EC7 / AASHTO / local)
• Trial piles / load tests where required</t>
        </is>
      </c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</sheetData>
  <mergeCells count="1">
    <mergeCell ref="A18:D20"/>
  </mergeCells>
  <conditionalFormatting sqref="A7:D14">
    <cfRule type="expression" priority="1" dxfId="0">
      <formula>$A7=1</formula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2026-01-05T11:59:29Z</dcterms:created>
  <dcterms:modified xmlns:dcterms="http://purl.org/dc/terms/" xmlns:xsi="http://www.w3.org/2001/XMLSchema-instance" xsi:type="dcterms:W3CDTF">2026-01-05T11:59:29Z</dcterms:modified>
</cp:coreProperties>
</file>